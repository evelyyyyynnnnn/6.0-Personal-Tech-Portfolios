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lyndu/Desktop/Personal-Tech-Portfolios/3-Learning-and-Resources/3-3-Certification/CFA/"/>
    </mc:Choice>
  </mc:AlternateContent>
  <xr:revisionPtr revIDLastSave="0" documentId="13_ncr:1_{94D1A70C-9ED9-8649-A93F-6D6C36B228E1}" xr6:coauthVersionLast="47" xr6:coauthVersionMax="47" xr10:uidLastSave="{00000000-0000-0000-0000-000000000000}"/>
  <bookViews>
    <workbookView xWindow="1520" yWindow="2120" windowWidth="28040" windowHeight="17180" xr2:uid="{EE8D6338-6077-A64D-BD3D-9BDAB87EC3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3" i="1"/>
  <c r="K8" i="1"/>
  <c r="K9" i="1"/>
  <c r="K10" i="1"/>
  <c r="K16" i="1"/>
  <c r="K17" i="1"/>
  <c r="K18" i="1"/>
  <c r="I15" i="1"/>
  <c r="I17" i="1"/>
  <c r="I18" i="1"/>
  <c r="I16" i="1"/>
  <c r="I14" i="1"/>
  <c r="K14" i="1" s="1"/>
  <c r="I13" i="1"/>
  <c r="K13" i="1" s="1"/>
  <c r="I12" i="1"/>
  <c r="K12" i="1" s="1"/>
  <c r="I11" i="1"/>
  <c r="K11" i="1" s="1"/>
  <c r="I10" i="1"/>
  <c r="I9" i="1"/>
  <c r="I8" i="1"/>
  <c r="I7" i="1"/>
  <c r="K7" i="1" s="1"/>
  <c r="I6" i="1"/>
  <c r="K6" i="1" s="1"/>
  <c r="I5" i="1"/>
  <c r="K5" i="1" s="1"/>
  <c r="I4" i="1"/>
  <c r="K4" i="1" s="1"/>
  <c r="I3" i="1"/>
  <c r="K3" i="1" s="1"/>
  <c r="J18" i="1"/>
  <c r="J17" i="1"/>
  <c r="J16" i="1"/>
  <c r="J15" i="1"/>
  <c r="K15" i="1" s="1"/>
  <c r="J14" i="1"/>
  <c r="J13" i="1"/>
  <c r="J12" i="1"/>
  <c r="J11" i="1"/>
  <c r="J10" i="1"/>
  <c r="J9" i="1"/>
  <c r="J8" i="1"/>
  <c r="J7" i="1"/>
  <c r="J6" i="1"/>
  <c r="J5" i="1"/>
  <c r="J4" i="1"/>
  <c r="J3" i="1"/>
  <c r="F7" i="1"/>
  <c r="G7" i="1" s="1"/>
  <c r="E12" i="1"/>
  <c r="F12" i="1" s="1"/>
  <c r="G12" i="1" s="1"/>
  <c r="E11" i="1"/>
  <c r="F11" i="1" s="1"/>
  <c r="G11" i="1" s="1"/>
  <c r="E10" i="1"/>
  <c r="F10" i="1" s="1"/>
  <c r="G10" i="1" s="1"/>
  <c r="E9" i="1"/>
  <c r="F9" i="1" s="1"/>
  <c r="G9" i="1" s="1"/>
  <c r="E8" i="1"/>
  <c r="F8" i="1" s="1"/>
  <c r="G8" i="1" s="1"/>
  <c r="E7" i="1"/>
  <c r="E6" i="1"/>
  <c r="F6" i="1" s="1"/>
  <c r="G6" i="1" s="1"/>
  <c r="E5" i="1"/>
  <c r="F5" i="1" s="1"/>
  <c r="G5" i="1" s="1"/>
  <c r="E4" i="1"/>
  <c r="D4" i="1"/>
  <c r="F4" i="1" s="1"/>
  <c r="G4" i="1" s="1"/>
  <c r="D3" i="1"/>
  <c r="E3" i="1"/>
  <c r="F3" i="1" l="1"/>
  <c r="G3" i="1" s="1"/>
</calcChain>
</file>

<file path=xl/sharedStrings.xml><?xml version="1.0" encoding="utf-8"?>
<sst xmlns="http://schemas.openxmlformats.org/spreadsheetml/2006/main" count="72" uniqueCount="50">
  <si>
    <t>Date</t>
  </si>
  <si>
    <t>Day</t>
  </si>
  <si>
    <t>CFA Plan</t>
  </si>
  <si>
    <t>Focus/Notes</t>
  </si>
  <si>
    <t>Wednesday</t>
  </si>
  <si>
    <t>40 Q</t>
  </si>
  <si>
    <t>80 Q</t>
  </si>
  <si>
    <t>Thursday</t>
  </si>
  <si>
    <t>Friday</t>
  </si>
  <si>
    <t>Saturday</t>
  </si>
  <si>
    <t>120 Q</t>
  </si>
  <si>
    <t>Sunday</t>
  </si>
  <si>
    <t>Mock 1, 180 Q</t>
  </si>
  <si>
    <t>Full CFA mock simulation</t>
  </si>
  <si>
    <t>Monday</t>
  </si>
  <si>
    <t>Tuesday</t>
  </si>
  <si>
    <t>Mock 2, 180 Q</t>
  </si>
  <si>
    <t>CFA full mock; review weak areas</t>
  </si>
  <si>
    <t>100 Q</t>
  </si>
  <si>
    <t>CFA Economics + Corporate Finance</t>
  </si>
  <si>
    <t>FRM final review; CFA Portfolio + Mixed</t>
  </si>
  <si>
    <t>FRM EXAM DAY</t>
  </si>
  <si>
    <t>Light CFA Ethics review only</t>
  </si>
  <si>
    <t>—</t>
  </si>
  <si>
    <t>Mock 3, 180 Q</t>
  </si>
  <si>
    <t>Full CFA simulation + review</t>
  </si>
  <si>
    <t>CFA FRA + Fixed Income</t>
  </si>
  <si>
    <t>Mock 4, 180 Q</t>
  </si>
  <si>
    <t>Identify final weak spots</t>
  </si>
  <si>
    <t>CFA Equity + Quant + Ethics</t>
  </si>
  <si>
    <t>Mock 5, 180 Q</t>
  </si>
  <si>
    <t>Final CFA mock + formula review</t>
  </si>
  <si>
    <t>CFA EXAM DAY</t>
  </si>
  <si>
    <t>Exam</t>
  </si>
  <si>
    <t>Good luck on CFA!</t>
  </si>
  <si>
    <t>FRM Plan (Q)</t>
  </si>
  <si>
    <t>FRM Speed (min)</t>
  </si>
  <si>
    <t>FRM Time (min)</t>
  </si>
  <si>
    <t>FRM Time (hr)</t>
  </si>
  <si>
    <t>CFA Speed (min)</t>
  </si>
  <si>
    <t>CFA Plan (Q)</t>
  </si>
  <si>
    <t>CFA Time (min)</t>
  </si>
  <si>
    <t>CFA Time (hr)</t>
  </si>
  <si>
    <t>Total Time (hr)</t>
  </si>
  <si>
    <r>
      <t xml:space="preserve">FRM Quant + Valuation; CFA </t>
    </r>
    <r>
      <rPr>
        <b/>
        <sz val="12"/>
        <color theme="1"/>
        <rFont val="Times New Roman"/>
        <family val="1"/>
      </rPr>
      <t>Fixed Income</t>
    </r>
  </si>
  <si>
    <r>
      <t xml:space="preserve">FRM Markets; CFA </t>
    </r>
    <r>
      <rPr>
        <b/>
        <sz val="12"/>
        <color theme="1"/>
        <rFont val="Times New Roman"/>
        <family val="1"/>
      </rPr>
      <t>Equity Investment</t>
    </r>
  </si>
  <si>
    <r>
      <t xml:space="preserve">FRM Practice Exam 1 partial; CFA </t>
    </r>
    <r>
      <rPr>
        <b/>
        <sz val="12"/>
        <color theme="1"/>
        <rFont val="Times New Roman"/>
        <family val="1"/>
      </rPr>
      <t>Ethics</t>
    </r>
  </si>
  <si>
    <r>
      <t xml:space="preserve">CFA FRA + </t>
    </r>
    <r>
      <rPr>
        <b/>
        <sz val="12"/>
        <color theme="1"/>
        <rFont val="Times New Roman"/>
        <family val="1"/>
      </rPr>
      <t xml:space="preserve">Ethics </t>
    </r>
    <r>
      <rPr>
        <sz val="12"/>
        <color theme="1"/>
        <rFont val="Times New Roman"/>
        <family val="1"/>
      </rPr>
      <t>heavy day</t>
    </r>
  </si>
  <si>
    <r>
      <t xml:space="preserve">FRM Valuation; CFA </t>
    </r>
    <r>
      <rPr>
        <b/>
        <sz val="12"/>
        <color theme="1"/>
        <rFont val="Times New Roman"/>
        <family val="1"/>
      </rPr>
      <t>Derivatives + Alternatives</t>
    </r>
  </si>
  <si>
    <r>
      <t xml:space="preserve">CFA </t>
    </r>
    <r>
      <rPr>
        <b/>
        <sz val="12"/>
        <color theme="1"/>
        <rFont val="Times New Roman"/>
        <family val="1"/>
      </rPr>
      <t xml:space="preserve">Quant + Ethics </t>
    </r>
    <r>
      <rPr>
        <sz val="12"/>
        <color theme="1"/>
        <rFont val="Times New Roman"/>
        <family val="1"/>
      </rPr>
      <t>refresh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</si>
</sst>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ABA9-760D-184A-BFD8-5CF36CD6A130}">
  <dimension ref="B1:N19"/>
  <sheetViews>
    <sheetView tabSelected="1" zoomScale="110" workbookViewId="0">
      <selection activeCell="N16" sqref="N16"/>
    </sheetView>
  </sheetViews>
  <sheetFormatPr baseColWidth="10" defaultRowHeight="16" x14ac:dyDescent="0.2"/>
  <cols>
    <col min="2" max="2" width="8.6640625" bestFit="1" customWidth="1"/>
    <col min="3" max="3" width="11.33203125" bestFit="1" customWidth="1"/>
    <col min="4" max="4" width="18.5" bestFit="1" customWidth="1"/>
    <col min="5" max="7" width="18.5" customWidth="1"/>
    <col min="8" max="8" width="18.1640625" bestFit="1" customWidth="1"/>
    <col min="9" max="12" width="18.1640625" customWidth="1"/>
    <col min="13" max="13" width="15.33203125" bestFit="1" customWidth="1"/>
    <col min="14" max="14" width="45.83203125" customWidth="1"/>
  </cols>
  <sheetData>
    <row r="1" spans="2:14" ht="17" thickBot="1" x14ac:dyDescent="0.25"/>
    <row r="2" spans="2:14" ht="17" thickBot="1" x14ac:dyDescent="0.25">
      <c r="B2" s="1" t="s">
        <v>0</v>
      </c>
      <c r="C2" s="2" t="s">
        <v>1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2</v>
      </c>
      <c r="I2" s="2" t="s">
        <v>40</v>
      </c>
      <c r="J2" s="2" t="s">
        <v>39</v>
      </c>
      <c r="K2" s="2" t="s">
        <v>41</v>
      </c>
      <c r="L2" s="2" t="s">
        <v>42</v>
      </c>
      <c r="M2" s="2" t="s">
        <v>43</v>
      </c>
      <c r="N2" s="2" t="s">
        <v>3</v>
      </c>
    </row>
    <row r="3" spans="2:14" ht="17" thickBot="1" x14ac:dyDescent="0.25">
      <c r="B3" s="3">
        <v>46141</v>
      </c>
      <c r="C3" s="4" t="s">
        <v>4</v>
      </c>
      <c r="D3" s="4">
        <f>40</f>
        <v>40</v>
      </c>
      <c r="E3" s="4">
        <f>2.4</f>
        <v>2.4</v>
      </c>
      <c r="F3" s="4">
        <f>D3*E3</f>
        <v>96</v>
      </c>
      <c r="G3" s="4">
        <f>F3/60</f>
        <v>1.6</v>
      </c>
      <c r="H3" s="4" t="s">
        <v>6</v>
      </c>
      <c r="I3" s="4">
        <f>80</f>
        <v>80</v>
      </c>
      <c r="J3" s="4">
        <f>1.5</f>
        <v>1.5</v>
      </c>
      <c r="K3" s="4">
        <f>I3*J3</f>
        <v>120</v>
      </c>
      <c r="L3" s="4">
        <f>K3/60</f>
        <v>2</v>
      </c>
      <c r="M3" s="4">
        <f>G3+L3</f>
        <v>3.6</v>
      </c>
      <c r="N3" s="4" t="s">
        <v>44</v>
      </c>
    </row>
    <row r="4" spans="2:14" ht="17" thickBot="1" x14ac:dyDescent="0.25">
      <c r="B4" s="3">
        <v>46142</v>
      </c>
      <c r="C4" s="4" t="s">
        <v>7</v>
      </c>
      <c r="D4" s="4">
        <f>40</f>
        <v>40</v>
      </c>
      <c r="E4" s="4">
        <f>2.4</f>
        <v>2.4</v>
      </c>
      <c r="F4" s="4">
        <f t="shared" ref="F4:F12" si="0">D4*E4</f>
        <v>96</v>
      </c>
      <c r="G4" s="4">
        <f t="shared" ref="G4:G12" si="1">F4/60</f>
        <v>1.6</v>
      </c>
      <c r="H4" s="4" t="s">
        <v>6</v>
      </c>
      <c r="I4" s="4">
        <f>80</f>
        <v>80</v>
      </c>
      <c r="J4" s="4">
        <f t="shared" ref="J4:J18" si="2">1.5</f>
        <v>1.5</v>
      </c>
      <c r="K4" s="4">
        <f t="shared" ref="K4:K18" si="3">I4*J4</f>
        <v>120</v>
      </c>
      <c r="L4" s="4">
        <f t="shared" ref="L4:L18" si="4">K4/60</f>
        <v>2</v>
      </c>
      <c r="M4" s="4">
        <f t="shared" ref="M4:M18" si="5">G4+L4</f>
        <v>3.6</v>
      </c>
      <c r="N4" s="4" t="s">
        <v>45</v>
      </c>
    </row>
    <row r="5" spans="2:14" ht="17" thickBot="1" x14ac:dyDescent="0.25">
      <c r="B5" s="3">
        <v>46143</v>
      </c>
      <c r="C5" s="4" t="s">
        <v>8</v>
      </c>
      <c r="D5" s="6">
        <v>40</v>
      </c>
      <c r="E5" s="4">
        <f>2.4</f>
        <v>2.4</v>
      </c>
      <c r="F5" s="4">
        <f t="shared" si="0"/>
        <v>96</v>
      </c>
      <c r="G5" s="4">
        <f t="shared" si="1"/>
        <v>1.6</v>
      </c>
      <c r="H5" s="4" t="s">
        <v>6</v>
      </c>
      <c r="I5" s="4">
        <f>80</f>
        <v>80</v>
      </c>
      <c r="J5" s="4">
        <f t="shared" si="2"/>
        <v>1.5</v>
      </c>
      <c r="K5" s="4">
        <f t="shared" si="3"/>
        <v>120</v>
      </c>
      <c r="L5" s="4">
        <f t="shared" si="4"/>
        <v>2</v>
      </c>
      <c r="M5" s="4">
        <f t="shared" si="5"/>
        <v>3.6</v>
      </c>
      <c r="N5" s="4" t="s">
        <v>46</v>
      </c>
    </row>
    <row r="6" spans="2:14" ht="17" thickBot="1" x14ac:dyDescent="0.25">
      <c r="B6" s="3">
        <v>46144</v>
      </c>
      <c r="C6" s="4" t="s">
        <v>9</v>
      </c>
      <c r="D6" s="6">
        <v>40</v>
      </c>
      <c r="E6" s="4">
        <f>2.4</f>
        <v>2.4</v>
      </c>
      <c r="F6" s="4">
        <f t="shared" si="0"/>
        <v>96</v>
      </c>
      <c r="G6" s="4">
        <f t="shared" si="1"/>
        <v>1.6</v>
      </c>
      <c r="H6" s="4" t="s">
        <v>10</v>
      </c>
      <c r="I6" s="4">
        <f>120</f>
        <v>120</v>
      </c>
      <c r="J6" s="4">
        <f t="shared" si="2"/>
        <v>1.5</v>
      </c>
      <c r="K6" s="4">
        <f t="shared" si="3"/>
        <v>180</v>
      </c>
      <c r="L6" s="4">
        <f t="shared" si="4"/>
        <v>3</v>
      </c>
      <c r="M6" s="4">
        <f t="shared" si="5"/>
        <v>4.5999999999999996</v>
      </c>
      <c r="N6" s="4" t="s">
        <v>47</v>
      </c>
    </row>
    <row r="7" spans="2:14" ht="17" thickBot="1" x14ac:dyDescent="0.25">
      <c r="B7" s="3">
        <v>46145</v>
      </c>
      <c r="C7" s="4" t="s">
        <v>11</v>
      </c>
      <c r="D7" s="6">
        <v>40</v>
      </c>
      <c r="E7" s="4">
        <f>2.4</f>
        <v>2.4</v>
      </c>
      <c r="F7" s="4">
        <f t="shared" si="0"/>
        <v>96</v>
      </c>
      <c r="G7" s="4">
        <f t="shared" si="1"/>
        <v>1.6</v>
      </c>
      <c r="H7" s="4" t="s">
        <v>12</v>
      </c>
      <c r="I7" s="4">
        <f>180</f>
        <v>180</v>
      </c>
      <c r="J7" s="4">
        <f t="shared" si="2"/>
        <v>1.5</v>
      </c>
      <c r="K7" s="4">
        <f t="shared" si="3"/>
        <v>270</v>
      </c>
      <c r="L7" s="4">
        <f t="shared" si="4"/>
        <v>4.5</v>
      </c>
      <c r="M7" s="4">
        <f t="shared" si="5"/>
        <v>6.1</v>
      </c>
      <c r="N7" s="4" t="s">
        <v>13</v>
      </c>
    </row>
    <row r="8" spans="2:14" ht="17" thickBot="1" x14ac:dyDescent="0.25">
      <c r="B8" s="3">
        <v>46146</v>
      </c>
      <c r="C8" s="4" t="s">
        <v>14</v>
      </c>
      <c r="D8" s="6">
        <v>40</v>
      </c>
      <c r="E8" s="4">
        <f>2.4</f>
        <v>2.4</v>
      </c>
      <c r="F8" s="4">
        <f t="shared" si="0"/>
        <v>96</v>
      </c>
      <c r="G8" s="4">
        <f t="shared" si="1"/>
        <v>1.6</v>
      </c>
      <c r="H8" s="4" t="s">
        <v>6</v>
      </c>
      <c r="I8" s="4">
        <f>80</f>
        <v>80</v>
      </c>
      <c r="J8" s="4">
        <f t="shared" si="2"/>
        <v>1.5</v>
      </c>
      <c r="K8" s="4">
        <f t="shared" si="3"/>
        <v>120</v>
      </c>
      <c r="L8" s="4">
        <f t="shared" si="4"/>
        <v>2</v>
      </c>
      <c r="M8" s="4">
        <f t="shared" si="5"/>
        <v>3.6</v>
      </c>
      <c r="N8" s="4" t="s">
        <v>48</v>
      </c>
    </row>
    <row r="9" spans="2:14" ht="17" thickBot="1" x14ac:dyDescent="0.25">
      <c r="B9" s="3">
        <v>46147</v>
      </c>
      <c r="C9" s="4" t="s">
        <v>15</v>
      </c>
      <c r="D9" s="6">
        <v>40</v>
      </c>
      <c r="E9" s="4">
        <f>2.4</f>
        <v>2.4</v>
      </c>
      <c r="F9" s="4">
        <f t="shared" si="0"/>
        <v>96</v>
      </c>
      <c r="G9" s="4">
        <f t="shared" si="1"/>
        <v>1.6</v>
      </c>
      <c r="H9" s="4" t="s">
        <v>6</v>
      </c>
      <c r="I9" s="4">
        <f>80</f>
        <v>80</v>
      </c>
      <c r="J9" s="4">
        <f t="shared" si="2"/>
        <v>1.5</v>
      </c>
      <c r="K9" s="4">
        <f t="shared" si="3"/>
        <v>120</v>
      </c>
      <c r="L9" s="4">
        <f t="shared" si="4"/>
        <v>2</v>
      </c>
      <c r="M9" s="4">
        <f t="shared" si="5"/>
        <v>3.6</v>
      </c>
      <c r="N9" s="4" t="s">
        <v>49</v>
      </c>
    </row>
    <row r="10" spans="2:14" ht="17" thickBot="1" x14ac:dyDescent="0.25">
      <c r="B10" s="3">
        <v>46148</v>
      </c>
      <c r="C10" s="4" t="s">
        <v>4</v>
      </c>
      <c r="D10" s="6">
        <v>40</v>
      </c>
      <c r="E10" s="4">
        <f>2.4</f>
        <v>2.4</v>
      </c>
      <c r="F10" s="4">
        <f t="shared" si="0"/>
        <v>96</v>
      </c>
      <c r="G10" s="4">
        <f t="shared" si="1"/>
        <v>1.6</v>
      </c>
      <c r="H10" s="4" t="s">
        <v>16</v>
      </c>
      <c r="I10" s="4">
        <f>180</f>
        <v>180</v>
      </c>
      <c r="J10" s="4">
        <f t="shared" si="2"/>
        <v>1.5</v>
      </c>
      <c r="K10" s="4">
        <f t="shared" si="3"/>
        <v>270</v>
      </c>
      <c r="L10" s="4">
        <f t="shared" si="4"/>
        <v>4.5</v>
      </c>
      <c r="M10" s="4">
        <f t="shared" si="5"/>
        <v>6.1</v>
      </c>
      <c r="N10" s="4" t="s">
        <v>17</v>
      </c>
    </row>
    <row r="11" spans="2:14" ht="17" thickBot="1" x14ac:dyDescent="0.25">
      <c r="B11" s="3">
        <v>46149</v>
      </c>
      <c r="C11" s="4" t="s">
        <v>7</v>
      </c>
      <c r="D11" s="6">
        <v>40</v>
      </c>
      <c r="E11" s="4">
        <f>2.4</f>
        <v>2.4</v>
      </c>
      <c r="F11" s="4">
        <f t="shared" si="0"/>
        <v>96</v>
      </c>
      <c r="G11" s="4">
        <f t="shared" si="1"/>
        <v>1.6</v>
      </c>
      <c r="H11" s="4" t="s">
        <v>18</v>
      </c>
      <c r="I11" s="4">
        <f>100</f>
        <v>100</v>
      </c>
      <c r="J11" s="4">
        <f t="shared" si="2"/>
        <v>1.5</v>
      </c>
      <c r="K11" s="4">
        <f t="shared" si="3"/>
        <v>150</v>
      </c>
      <c r="L11" s="4">
        <f t="shared" si="4"/>
        <v>2.5</v>
      </c>
      <c r="M11" s="4">
        <f t="shared" si="5"/>
        <v>4.0999999999999996</v>
      </c>
      <c r="N11" s="4" t="s">
        <v>19</v>
      </c>
    </row>
    <row r="12" spans="2:14" ht="17" thickBot="1" x14ac:dyDescent="0.25">
      <c r="B12" s="3">
        <v>46150</v>
      </c>
      <c r="C12" s="4" t="s">
        <v>8</v>
      </c>
      <c r="D12" s="6">
        <v>40</v>
      </c>
      <c r="E12" s="4">
        <f>2.4</f>
        <v>2.4</v>
      </c>
      <c r="F12" s="4">
        <f t="shared" si="0"/>
        <v>96</v>
      </c>
      <c r="G12" s="4">
        <f t="shared" si="1"/>
        <v>1.6</v>
      </c>
      <c r="H12" s="4" t="s">
        <v>18</v>
      </c>
      <c r="I12" s="4">
        <f>100</f>
        <v>100</v>
      </c>
      <c r="J12" s="4">
        <f t="shared" si="2"/>
        <v>1.5</v>
      </c>
      <c r="K12" s="4">
        <f t="shared" si="3"/>
        <v>150</v>
      </c>
      <c r="L12" s="4">
        <f t="shared" si="4"/>
        <v>2.5</v>
      </c>
      <c r="M12" s="4">
        <f t="shared" si="5"/>
        <v>4.0999999999999996</v>
      </c>
      <c r="N12" s="4" t="s">
        <v>20</v>
      </c>
    </row>
    <row r="13" spans="2:14" ht="17" thickBot="1" x14ac:dyDescent="0.25">
      <c r="B13" s="3">
        <v>46151</v>
      </c>
      <c r="C13" s="4" t="s">
        <v>9</v>
      </c>
      <c r="D13" s="5" t="s">
        <v>21</v>
      </c>
      <c r="E13" s="5"/>
      <c r="F13" s="5"/>
      <c r="G13" s="5"/>
      <c r="H13" s="4" t="s">
        <v>5</v>
      </c>
      <c r="I13" s="4">
        <f>40</f>
        <v>40</v>
      </c>
      <c r="J13" s="4">
        <f t="shared" si="2"/>
        <v>1.5</v>
      </c>
      <c r="K13" s="4">
        <f t="shared" si="3"/>
        <v>60</v>
      </c>
      <c r="L13" s="4">
        <f t="shared" si="4"/>
        <v>1</v>
      </c>
      <c r="M13" s="4">
        <f t="shared" si="5"/>
        <v>1</v>
      </c>
      <c r="N13" s="4" t="s">
        <v>22</v>
      </c>
    </row>
    <row r="14" spans="2:14" ht="17" thickBot="1" x14ac:dyDescent="0.25">
      <c r="B14" s="3">
        <v>46152</v>
      </c>
      <c r="C14" s="4" t="s">
        <v>11</v>
      </c>
      <c r="D14" s="4" t="s">
        <v>23</v>
      </c>
      <c r="E14" s="4"/>
      <c r="F14" s="4"/>
      <c r="G14" s="4"/>
      <c r="H14" s="4" t="s">
        <v>24</v>
      </c>
      <c r="I14" s="4">
        <f>180</f>
        <v>180</v>
      </c>
      <c r="J14" s="4">
        <f t="shared" si="2"/>
        <v>1.5</v>
      </c>
      <c r="K14" s="4">
        <f t="shared" si="3"/>
        <v>270</v>
      </c>
      <c r="L14" s="4">
        <f t="shared" si="4"/>
        <v>4.5</v>
      </c>
      <c r="M14" s="4">
        <f t="shared" si="5"/>
        <v>4.5</v>
      </c>
      <c r="N14" s="4" t="s">
        <v>25</v>
      </c>
    </row>
    <row r="15" spans="2:14" ht="17" thickBot="1" x14ac:dyDescent="0.25">
      <c r="B15" s="3">
        <v>46153</v>
      </c>
      <c r="C15" s="4" t="s">
        <v>14</v>
      </c>
      <c r="D15" s="4" t="s">
        <v>23</v>
      </c>
      <c r="E15" s="4"/>
      <c r="F15" s="4"/>
      <c r="G15" s="4"/>
      <c r="H15" s="4" t="s">
        <v>10</v>
      </c>
      <c r="I15" s="4">
        <f>180</f>
        <v>180</v>
      </c>
      <c r="J15" s="4">
        <f t="shared" si="2"/>
        <v>1.5</v>
      </c>
      <c r="K15" s="4">
        <f t="shared" si="3"/>
        <v>270</v>
      </c>
      <c r="L15" s="4">
        <f t="shared" si="4"/>
        <v>4.5</v>
      </c>
      <c r="M15" s="4">
        <f t="shared" si="5"/>
        <v>4.5</v>
      </c>
      <c r="N15" s="4" t="s">
        <v>26</v>
      </c>
    </row>
    <row r="16" spans="2:14" ht="17" thickBot="1" x14ac:dyDescent="0.25">
      <c r="B16" s="3">
        <v>46154</v>
      </c>
      <c r="C16" s="4" t="s">
        <v>15</v>
      </c>
      <c r="D16" s="4" t="s">
        <v>23</v>
      </c>
      <c r="E16" s="4"/>
      <c r="F16" s="4"/>
      <c r="G16" s="4"/>
      <c r="H16" s="4" t="s">
        <v>27</v>
      </c>
      <c r="I16" s="4">
        <f>180</f>
        <v>180</v>
      </c>
      <c r="J16" s="4">
        <f t="shared" si="2"/>
        <v>1.5</v>
      </c>
      <c r="K16" s="4">
        <f t="shared" si="3"/>
        <v>270</v>
      </c>
      <c r="L16" s="4">
        <f t="shared" si="4"/>
        <v>4.5</v>
      </c>
      <c r="M16" s="4">
        <f t="shared" si="5"/>
        <v>4.5</v>
      </c>
      <c r="N16" s="4" t="s">
        <v>28</v>
      </c>
    </row>
    <row r="17" spans="2:14" ht="17" thickBot="1" x14ac:dyDescent="0.25">
      <c r="B17" s="3">
        <v>46155</v>
      </c>
      <c r="C17" s="4" t="s">
        <v>4</v>
      </c>
      <c r="D17" s="4" t="s">
        <v>23</v>
      </c>
      <c r="E17" s="4"/>
      <c r="F17" s="4"/>
      <c r="G17" s="4"/>
      <c r="H17" s="4" t="s">
        <v>10</v>
      </c>
      <c r="I17" s="4">
        <f>180</f>
        <v>180</v>
      </c>
      <c r="J17" s="4">
        <f t="shared" si="2"/>
        <v>1.5</v>
      </c>
      <c r="K17" s="4">
        <f t="shared" si="3"/>
        <v>270</v>
      </c>
      <c r="L17" s="4">
        <f t="shared" si="4"/>
        <v>4.5</v>
      </c>
      <c r="M17" s="4">
        <f t="shared" si="5"/>
        <v>4.5</v>
      </c>
      <c r="N17" s="4" t="s">
        <v>29</v>
      </c>
    </row>
    <row r="18" spans="2:14" ht="17" thickBot="1" x14ac:dyDescent="0.25">
      <c r="B18" s="3">
        <v>46156</v>
      </c>
      <c r="C18" s="4" t="s">
        <v>7</v>
      </c>
      <c r="D18" s="4" t="s">
        <v>23</v>
      </c>
      <c r="E18" s="4"/>
      <c r="F18" s="4"/>
      <c r="G18" s="4"/>
      <c r="H18" s="4" t="s">
        <v>30</v>
      </c>
      <c r="I18" s="4">
        <f>180</f>
        <v>180</v>
      </c>
      <c r="J18" s="4">
        <f t="shared" si="2"/>
        <v>1.5</v>
      </c>
      <c r="K18" s="4">
        <f t="shared" si="3"/>
        <v>270</v>
      </c>
      <c r="L18" s="4">
        <f t="shared" si="4"/>
        <v>4.5</v>
      </c>
      <c r="M18" s="4">
        <f t="shared" si="5"/>
        <v>4.5</v>
      </c>
      <c r="N18" s="4" t="s">
        <v>31</v>
      </c>
    </row>
    <row r="19" spans="2:14" ht="17" thickBot="1" x14ac:dyDescent="0.25">
      <c r="B19" s="3">
        <v>46157</v>
      </c>
      <c r="C19" s="4" t="s">
        <v>8</v>
      </c>
      <c r="D19" s="4" t="s">
        <v>23</v>
      </c>
      <c r="E19" s="4"/>
      <c r="F19" s="4"/>
      <c r="G19" s="4"/>
      <c r="H19" s="5" t="s">
        <v>32</v>
      </c>
      <c r="I19" s="5"/>
      <c r="J19" s="5"/>
      <c r="K19" s="5"/>
      <c r="L19" s="5"/>
      <c r="M19" s="4" t="s">
        <v>33</v>
      </c>
      <c r="N19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Du</dc:creator>
  <cp:lastModifiedBy>Evelyn Du</cp:lastModifiedBy>
  <dcterms:created xsi:type="dcterms:W3CDTF">2026-04-29T21:53:42Z</dcterms:created>
  <dcterms:modified xsi:type="dcterms:W3CDTF">2026-04-29T22:03:26Z</dcterms:modified>
</cp:coreProperties>
</file>