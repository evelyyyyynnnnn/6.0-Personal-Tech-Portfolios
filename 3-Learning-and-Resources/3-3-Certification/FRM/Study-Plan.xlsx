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80" windowHeight="15140"/>
  </bookViews>
  <sheets>
    <sheet name="Plan-1" sheetId="1" r:id="rId1"/>
    <sheet name="Plan-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<sst xmlns="http://schemas.openxmlformats.org/spreadsheetml/2006/main" count="112" uniqueCount="63">
  <si>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Date</t>
  </si>
  <si>
    <t>Day</t>
  </si>
  <si>
    <t>FRM Plan (Q)</t>
  </si>
  <si>
    <t>FRM Speed (min)</t>
  </si>
  <si>
    <t>FRM Time (min)</t>
  </si>
  <si>
    <t>FRM Time (hr)</t>
  </si>
  <si>
    <t>CFA Plan</t>
  </si>
  <si>
    <t>CFA Plan (Q)</t>
  </si>
  <si>
    <t>CFA Speed (min)</t>
  </si>
  <si>
    <t>CFA Time (min)</t>
  </si>
  <si>
    <t>CFA Time (hr)</t>
  </si>
  <si>
    <t>Total Time (hr)</t>
  </si>
  <si>
    <t>Focus/Notes</t>
  </si>
  <si>
    <t>Wednesday</t>
  </si>
  <si>
    <t>80 Q</t>
  </si>
  <si>
    <r>
      <rPr>
        <sz val="12"/>
        <color theme="1"/>
        <rFont val="Times New Roman"/>
        <charset val="134"/>
      </rPr>
      <t xml:space="preserve">FRM Quant + Valuation; CFA </t>
    </r>
    <r>
      <rPr>
        <b/>
        <sz val="12"/>
        <color theme="1"/>
        <rFont val="Times New Roman"/>
        <charset val="134"/>
      </rPr>
      <t>Fixed Income</t>
    </r>
  </si>
  <si>
    <t>Thursday</t>
  </si>
  <si>
    <r>
      <rPr>
        <sz val="12"/>
        <color theme="1"/>
        <rFont val="Times New Roman"/>
        <charset val="134"/>
      </rPr>
      <t xml:space="preserve">FRM Markets; CFA </t>
    </r>
    <r>
      <rPr>
        <b/>
        <sz val="12"/>
        <color theme="1"/>
        <rFont val="Times New Roman"/>
        <charset val="134"/>
      </rPr>
      <t>Equity Investment</t>
    </r>
  </si>
  <si>
    <t>Friday</t>
  </si>
  <si>
    <r>
      <rPr>
        <sz val="12"/>
        <color theme="1"/>
        <rFont val="Times New Roman"/>
        <charset val="134"/>
      </rPr>
      <t xml:space="preserve">FRM Practice Exam 1 partial; CFA </t>
    </r>
    <r>
      <rPr>
        <b/>
        <sz val="12"/>
        <color theme="1"/>
        <rFont val="Times New Roman"/>
        <charset val="134"/>
      </rPr>
      <t>Ethics</t>
    </r>
  </si>
  <si>
    <t>Saturday</t>
  </si>
  <si>
    <t>120 Q</t>
  </si>
  <si>
    <r>
      <rPr>
        <sz val="12"/>
        <color theme="1"/>
        <rFont val="Times New Roman"/>
        <charset val="134"/>
      </rPr>
      <t xml:space="preserve">CFA FRA + </t>
    </r>
    <r>
      <rPr>
        <b/>
        <sz val="12"/>
        <color theme="1"/>
        <rFont val="Times New Roman"/>
        <charset val="134"/>
      </rPr>
      <t xml:space="preserve">Ethics </t>
    </r>
    <r>
      <rPr>
        <sz val="12"/>
        <color theme="1"/>
        <rFont val="Times New Roman"/>
        <charset val="134"/>
      </rPr>
      <t>heavy day</t>
    </r>
  </si>
  <si>
    <t>Sunday</t>
  </si>
  <si>
    <t>Mock 1, 180 Q</t>
  </si>
  <si>
    <t>Full CFA mock simulation</t>
  </si>
  <si>
    <t>Monday</t>
  </si>
  <si>
    <r>
      <rPr>
        <sz val="12"/>
        <color theme="1"/>
        <rFont val="Times New Roman"/>
        <charset val="134"/>
      </rPr>
      <t xml:space="preserve">FRM Valuation; CFA </t>
    </r>
    <r>
      <rPr>
        <b/>
        <sz val="12"/>
        <color theme="1"/>
        <rFont val="Times New Roman"/>
        <charset val="134"/>
      </rPr>
      <t>Derivatives + Alternatives</t>
    </r>
  </si>
  <si>
    <t>Tuesday</t>
  </si>
  <si>
    <r>
      <rPr>
        <sz val="12"/>
        <color theme="1"/>
        <rFont val="Times New Roman"/>
        <charset val="134"/>
      </rPr>
      <t xml:space="preserve">CFA </t>
    </r>
    <r>
      <rPr>
        <b/>
        <sz val="12"/>
        <color theme="1"/>
        <rFont val="Times New Roman"/>
        <charset val="134"/>
      </rPr>
      <t xml:space="preserve">Quant + Ethics </t>
    </r>
    <r>
      <rPr>
        <sz val="12"/>
        <color theme="1"/>
        <rFont val="Times New Roman"/>
        <charset val="134"/>
      </rPr>
      <t>refresh</t>
    </r>
  </si>
  <si>
    <t>Mock 2, 180 Q</t>
  </si>
  <si>
    <t>CFA full mock; review weak areas</t>
  </si>
  <si>
    <t>100 Q</t>
  </si>
  <si>
    <t>CFA Economics + Corporate Finance</t>
  </si>
  <si>
    <t>FRM final review; CFA Portfolio + Mixed</t>
  </si>
  <si>
    <t>FRM EXAM DAY</t>
  </si>
  <si>
    <t>40 Q</t>
  </si>
  <si>
    <t>Light CFA Ethics review only</t>
  </si>
  <si>
    <t>—</t>
  </si>
  <si>
    <t>Mock 3, 180 Q</t>
  </si>
  <si>
    <t>Full CFA simulation + review</t>
  </si>
  <si>
    <t>CFA FRA + Fixed Income</t>
  </si>
  <si>
    <t>Mock 4, 180 Q</t>
  </si>
  <si>
    <t>Identify final weak spots</t>
  </si>
  <si>
    <t>CFA Equity + Quant + Ethics</t>
  </si>
  <si>
    <t>Mock 5, 180 Q</t>
  </si>
  <si>
    <t>Final CFA mock + formula review</t>
  </si>
  <si>
    <t>CFA EXAM DAY</t>
  </si>
  <si>
    <t>Exam</t>
  </si>
  <si>
    <t>Good luck on CFA!</t>
  </si>
  <si>
    <t>Planed Hr</t>
  </si>
  <si>
    <t>Detailed Time Plan</t>
  </si>
  <si>
    <t>Wed</t>
  </si>
  <si>
    <t>06:30–08:30 (2h) + Working Time 09:00–17:00+ (2h) + Evening 18:30–23:00 (2h)</t>
  </si>
  <si>
    <t>Thu</t>
  </si>
  <si>
    <t>Fri</t>
  </si>
  <si>
    <t>Sat</t>
  </si>
  <si>
    <t>06:30–09:30 (3h) + Working Time 10:00–17:00+ (3h) + Evening 18:30–23:00 (2h)</t>
  </si>
  <si>
    <t>Sun</t>
  </si>
  <si>
    <t>Mon</t>
  </si>
  <si>
    <t>Tue</t>
  </si>
  <si>
    <t>19:00–20:00 light CFA Ethics</t>
  </si>
  <si>
    <r>
      <t>🚫</t>
    </r>
    <r>
      <rPr>
        <sz val="10"/>
        <color theme="1"/>
        <rFont val="Times New Roman"/>
        <charset val="134"/>
      </rPr>
      <t xml:space="preserve"> No study → Relax + CFA Exam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</si>
</sst>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2"/>
      <color theme="1"/>
      <name val="Aptos Narrow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Apple Color Emoji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" fontId="2" fillId="0" borderId="3" xfId="0" applyNumberFormat="1" applyFont="1" applyBorder="1"/>
    <xf numFmtId="0" fontId="2" fillId="0" borderId="4" xfId="0" applyFont="1" applyBorder="1"/>
    <xf numFmtId="0" fontId="2" fillId="0" borderId="4" xfId="0" applyFont="1" applyBorder="1"/>
    <xf numFmtId="0" fontId="1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58" fontId="5" fillId="0" borderId="3" xfId="0" applyNumberFormat="1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5" fillId="2" borderId="4" xfId="0" applyFont="1" applyFill="1" applyBorder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9"/>
  <sheetViews>
    <sheetView tabSelected="1" zoomScale="110" zoomScaleNormal="110" workbookViewId="0">
      <selection activeCell="D26" sqref="D26"/>
    </sheetView>
  </sheetViews>
  <sheetFormatPr defaultColWidth="11" defaultRowHeight="17.6"/>
  <cols>
    <col min="2" max="2" width="10.2222222222222" customWidth="1"/>
    <col min="3" max="3" width="11.3333333333333" customWidth="1"/>
    <col min="4" max="7" width="18.5" customWidth="1"/>
    <col min="8" max="12" width="18.1666666666667" customWidth="1"/>
    <col min="13" max="14" width="15.3333333333333" customWidth="1"/>
    <col min="15" max="15" width="45.8333333333333" customWidth="1"/>
  </cols>
  <sheetData>
    <row r="2" spans="2:15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/>
      <c r="O2" s="11" t="s">
        <v>12</v>
      </c>
    </row>
    <row r="3" ht="18.35" spans="2:15">
      <c r="B3" s="12">
        <v>46141</v>
      </c>
      <c r="C3" s="13" t="s">
        <v>13</v>
      </c>
      <c r="D3" s="13">
        <f>40</f>
        <v>40</v>
      </c>
      <c r="E3" s="13">
        <f t="shared" ref="E3:E12" si="0">2.4</f>
        <v>2.4</v>
      </c>
      <c r="F3" s="13">
        <f>D3*E3</f>
        <v>96</v>
      </c>
      <c r="G3" s="13">
        <f>F3/60</f>
        <v>1.6</v>
      </c>
      <c r="H3" s="13" t="s">
        <v>14</v>
      </c>
      <c r="I3" s="13">
        <f>80</f>
        <v>80</v>
      </c>
      <c r="J3" s="13">
        <f>1.5</f>
        <v>1.5</v>
      </c>
      <c r="K3" s="13">
        <f>I3*J3</f>
        <v>120</v>
      </c>
      <c r="L3" s="13">
        <f>K3/60</f>
        <v>2</v>
      </c>
      <c r="M3" s="13">
        <f>G3+L3</f>
        <v>3.6</v>
      </c>
      <c r="N3" s="13"/>
      <c r="O3" s="13" t="s">
        <v>15</v>
      </c>
    </row>
    <row r="4" ht="18.35" spans="2:15">
      <c r="B4" s="12">
        <v>46142</v>
      </c>
      <c r="C4" s="13" t="s">
        <v>16</v>
      </c>
      <c r="D4" s="13">
        <f>40</f>
        <v>40</v>
      </c>
      <c r="E4" s="13">
        <f t="shared" si="0"/>
        <v>2.4</v>
      </c>
      <c r="F4" s="13">
        <f t="shared" ref="F4:F12" si="1">D4*E4</f>
        <v>96</v>
      </c>
      <c r="G4" s="13">
        <f t="shared" ref="G4:G12" si="2">F4/60</f>
        <v>1.6</v>
      </c>
      <c r="H4" s="13" t="s">
        <v>14</v>
      </c>
      <c r="I4" s="13">
        <f>80</f>
        <v>80</v>
      </c>
      <c r="J4" s="13">
        <f t="shared" ref="J4:J18" si="3">1.5</f>
        <v>1.5</v>
      </c>
      <c r="K4" s="13">
        <f t="shared" ref="K4:K18" si="4">I4*J4</f>
        <v>120</v>
      </c>
      <c r="L4" s="13">
        <f t="shared" ref="L4:L18" si="5">K4/60</f>
        <v>2</v>
      </c>
      <c r="M4" s="13">
        <f t="shared" ref="M4:M18" si="6">G4+L4</f>
        <v>3.6</v>
      </c>
      <c r="N4" s="13"/>
      <c r="O4" s="13" t="s">
        <v>17</v>
      </c>
    </row>
    <row r="5" ht="18.35" spans="2:15">
      <c r="B5" s="12">
        <v>46143</v>
      </c>
      <c r="C5" s="13" t="s">
        <v>18</v>
      </c>
      <c r="D5" s="14">
        <v>40</v>
      </c>
      <c r="E5" s="13">
        <f t="shared" si="0"/>
        <v>2.4</v>
      </c>
      <c r="F5" s="13">
        <f t="shared" si="1"/>
        <v>96</v>
      </c>
      <c r="G5" s="13">
        <f t="shared" si="2"/>
        <v>1.6</v>
      </c>
      <c r="H5" s="13" t="s">
        <v>14</v>
      </c>
      <c r="I5" s="13">
        <f>80</f>
        <v>80</v>
      </c>
      <c r="J5" s="13">
        <f t="shared" si="3"/>
        <v>1.5</v>
      </c>
      <c r="K5" s="13">
        <f t="shared" si="4"/>
        <v>120</v>
      </c>
      <c r="L5" s="13">
        <f t="shared" si="5"/>
        <v>2</v>
      </c>
      <c r="M5" s="13">
        <f t="shared" si="6"/>
        <v>3.6</v>
      </c>
      <c r="N5" s="13"/>
      <c r="O5" s="13" t="s">
        <v>19</v>
      </c>
    </row>
    <row r="6" ht="18.35" spans="2:15">
      <c r="B6" s="12">
        <v>46144</v>
      </c>
      <c r="C6" s="13" t="s">
        <v>20</v>
      </c>
      <c r="D6" s="14">
        <v>40</v>
      </c>
      <c r="E6" s="13">
        <f t="shared" si="0"/>
        <v>2.4</v>
      </c>
      <c r="F6" s="13">
        <f t="shared" si="1"/>
        <v>96</v>
      </c>
      <c r="G6" s="13">
        <f t="shared" si="2"/>
        <v>1.6</v>
      </c>
      <c r="H6" s="13" t="s">
        <v>21</v>
      </c>
      <c r="I6" s="13">
        <f>120</f>
        <v>120</v>
      </c>
      <c r="J6" s="13">
        <f t="shared" si="3"/>
        <v>1.5</v>
      </c>
      <c r="K6" s="13">
        <f t="shared" si="4"/>
        <v>180</v>
      </c>
      <c r="L6" s="13">
        <f t="shared" si="5"/>
        <v>3</v>
      </c>
      <c r="M6" s="13">
        <f t="shared" si="6"/>
        <v>4.6</v>
      </c>
      <c r="N6" s="13"/>
      <c r="O6" s="13" t="s">
        <v>22</v>
      </c>
    </row>
    <row r="7" spans="2:15">
      <c r="B7" s="12">
        <v>46145</v>
      </c>
      <c r="C7" s="13" t="s">
        <v>23</v>
      </c>
      <c r="D7" s="14">
        <v>40</v>
      </c>
      <c r="E7" s="13">
        <f t="shared" si="0"/>
        <v>2.4</v>
      </c>
      <c r="F7" s="13">
        <f t="shared" si="1"/>
        <v>96</v>
      </c>
      <c r="G7" s="13">
        <f t="shared" si="2"/>
        <v>1.6</v>
      </c>
      <c r="H7" s="13" t="s">
        <v>24</v>
      </c>
      <c r="I7" s="13">
        <f>180</f>
        <v>180</v>
      </c>
      <c r="J7" s="13">
        <f t="shared" si="3"/>
        <v>1.5</v>
      </c>
      <c r="K7" s="13">
        <f t="shared" si="4"/>
        <v>270</v>
      </c>
      <c r="L7" s="13">
        <f t="shared" si="5"/>
        <v>4.5</v>
      </c>
      <c r="M7" s="13">
        <f t="shared" si="6"/>
        <v>6.1</v>
      </c>
      <c r="N7" s="13"/>
      <c r="O7" s="13" t="s">
        <v>25</v>
      </c>
    </row>
    <row r="8" ht="18.35" spans="2:15">
      <c r="B8" s="12">
        <v>46146</v>
      </c>
      <c r="C8" s="13" t="s">
        <v>26</v>
      </c>
      <c r="D8" s="14">
        <v>40</v>
      </c>
      <c r="E8" s="13">
        <f t="shared" si="0"/>
        <v>2.4</v>
      </c>
      <c r="F8" s="13">
        <f t="shared" si="1"/>
        <v>96</v>
      </c>
      <c r="G8" s="13">
        <f t="shared" si="2"/>
        <v>1.6</v>
      </c>
      <c r="H8" s="13" t="s">
        <v>14</v>
      </c>
      <c r="I8" s="13">
        <f>80</f>
        <v>80</v>
      </c>
      <c r="J8" s="13">
        <f t="shared" si="3"/>
        <v>1.5</v>
      </c>
      <c r="K8" s="13">
        <f t="shared" si="4"/>
        <v>120</v>
      </c>
      <c r="L8" s="13">
        <f t="shared" si="5"/>
        <v>2</v>
      </c>
      <c r="M8" s="13">
        <f t="shared" si="6"/>
        <v>3.6</v>
      </c>
      <c r="N8" s="13"/>
      <c r="O8" s="13" t="s">
        <v>27</v>
      </c>
    </row>
    <row r="9" ht="18.35" spans="2:15">
      <c r="B9" s="12">
        <v>46147</v>
      </c>
      <c r="C9" s="13" t="s">
        <v>28</v>
      </c>
      <c r="D9" s="14">
        <v>40</v>
      </c>
      <c r="E9" s="13">
        <f t="shared" si="0"/>
        <v>2.4</v>
      </c>
      <c r="F9" s="13">
        <f t="shared" si="1"/>
        <v>96</v>
      </c>
      <c r="G9" s="13">
        <f t="shared" si="2"/>
        <v>1.6</v>
      </c>
      <c r="H9" s="13" t="s">
        <v>14</v>
      </c>
      <c r="I9" s="13">
        <f>80</f>
        <v>80</v>
      </c>
      <c r="J9" s="13">
        <f t="shared" si="3"/>
        <v>1.5</v>
      </c>
      <c r="K9" s="13">
        <f t="shared" si="4"/>
        <v>120</v>
      </c>
      <c r="L9" s="13">
        <f t="shared" si="5"/>
        <v>2</v>
      </c>
      <c r="M9" s="13">
        <f t="shared" si="6"/>
        <v>3.6</v>
      </c>
      <c r="N9" s="13"/>
      <c r="O9" s="13" t="s">
        <v>29</v>
      </c>
    </row>
    <row r="10" spans="2:15">
      <c r="B10" s="12">
        <v>46148</v>
      </c>
      <c r="C10" s="13" t="s">
        <v>13</v>
      </c>
      <c r="D10" s="14">
        <v>40</v>
      </c>
      <c r="E10" s="13">
        <f t="shared" si="0"/>
        <v>2.4</v>
      </c>
      <c r="F10" s="13">
        <f t="shared" si="1"/>
        <v>96</v>
      </c>
      <c r="G10" s="13">
        <f t="shared" si="2"/>
        <v>1.6</v>
      </c>
      <c r="H10" s="13" t="s">
        <v>30</v>
      </c>
      <c r="I10" s="13">
        <f>180</f>
        <v>180</v>
      </c>
      <c r="J10" s="13">
        <f t="shared" si="3"/>
        <v>1.5</v>
      </c>
      <c r="K10" s="13">
        <f t="shared" si="4"/>
        <v>270</v>
      </c>
      <c r="L10" s="13">
        <f t="shared" si="5"/>
        <v>4.5</v>
      </c>
      <c r="M10" s="13">
        <f t="shared" si="6"/>
        <v>6.1</v>
      </c>
      <c r="N10" s="13"/>
      <c r="O10" s="13" t="s">
        <v>31</v>
      </c>
    </row>
    <row r="11" spans="2:15">
      <c r="B11" s="12">
        <v>46149</v>
      </c>
      <c r="C11" s="13" t="s">
        <v>16</v>
      </c>
      <c r="D11" s="14">
        <v>40</v>
      </c>
      <c r="E11" s="13">
        <f t="shared" si="0"/>
        <v>2.4</v>
      </c>
      <c r="F11" s="13">
        <f t="shared" si="1"/>
        <v>96</v>
      </c>
      <c r="G11" s="13">
        <f t="shared" si="2"/>
        <v>1.6</v>
      </c>
      <c r="H11" s="13" t="s">
        <v>32</v>
      </c>
      <c r="I11" s="13">
        <f>100</f>
        <v>100</v>
      </c>
      <c r="J11" s="13">
        <f t="shared" si="3"/>
        <v>1.5</v>
      </c>
      <c r="K11" s="13">
        <f t="shared" si="4"/>
        <v>150</v>
      </c>
      <c r="L11" s="13">
        <f t="shared" si="5"/>
        <v>2.5</v>
      </c>
      <c r="M11" s="13">
        <f t="shared" si="6"/>
        <v>4.1</v>
      </c>
      <c r="N11" s="13"/>
      <c r="O11" s="13" t="s">
        <v>33</v>
      </c>
    </row>
    <row r="12" spans="2:15">
      <c r="B12" s="12">
        <v>46150</v>
      </c>
      <c r="C12" s="13" t="s">
        <v>18</v>
      </c>
      <c r="D12" s="14">
        <v>40</v>
      </c>
      <c r="E12" s="13">
        <f t="shared" si="0"/>
        <v>2.4</v>
      </c>
      <c r="F12" s="13">
        <f t="shared" si="1"/>
        <v>96</v>
      </c>
      <c r="G12" s="13">
        <f t="shared" si="2"/>
        <v>1.6</v>
      </c>
      <c r="H12" s="13" t="s">
        <v>32</v>
      </c>
      <c r="I12" s="13">
        <f>100</f>
        <v>100</v>
      </c>
      <c r="J12" s="13">
        <f t="shared" si="3"/>
        <v>1.5</v>
      </c>
      <c r="K12" s="13">
        <f t="shared" si="4"/>
        <v>150</v>
      </c>
      <c r="L12" s="13">
        <f t="shared" si="5"/>
        <v>2.5</v>
      </c>
      <c r="M12" s="13">
        <f t="shared" si="6"/>
        <v>4.1</v>
      </c>
      <c r="N12" s="13"/>
      <c r="O12" s="13" t="s">
        <v>34</v>
      </c>
    </row>
    <row r="13" spans="2:15">
      <c r="B13" s="12">
        <v>46151</v>
      </c>
      <c r="C13" s="13" t="s">
        <v>20</v>
      </c>
      <c r="D13" s="15" t="s">
        <v>35</v>
      </c>
      <c r="E13" s="15"/>
      <c r="F13" s="15"/>
      <c r="G13" s="15"/>
      <c r="H13" s="13" t="s">
        <v>36</v>
      </c>
      <c r="I13" s="13">
        <f>40</f>
        <v>40</v>
      </c>
      <c r="J13" s="13">
        <f t="shared" si="3"/>
        <v>1.5</v>
      </c>
      <c r="K13" s="13">
        <f t="shared" si="4"/>
        <v>60</v>
      </c>
      <c r="L13" s="13">
        <f t="shared" si="5"/>
        <v>1</v>
      </c>
      <c r="M13" s="13">
        <f t="shared" si="6"/>
        <v>1</v>
      </c>
      <c r="N13" s="13"/>
      <c r="O13" s="13" t="s">
        <v>37</v>
      </c>
    </row>
    <row r="14" spans="2:15">
      <c r="B14" s="12">
        <v>46152</v>
      </c>
      <c r="C14" s="13" t="s">
        <v>23</v>
      </c>
      <c r="D14" s="13" t="s">
        <v>38</v>
      </c>
      <c r="E14" s="13"/>
      <c r="F14" s="13"/>
      <c r="G14" s="13"/>
      <c r="H14" s="13" t="s">
        <v>39</v>
      </c>
      <c r="I14" s="13">
        <f>180</f>
        <v>180</v>
      </c>
      <c r="J14" s="13">
        <f t="shared" si="3"/>
        <v>1.5</v>
      </c>
      <c r="K14" s="13">
        <f t="shared" si="4"/>
        <v>270</v>
      </c>
      <c r="L14" s="13">
        <f t="shared" si="5"/>
        <v>4.5</v>
      </c>
      <c r="M14" s="13">
        <f t="shared" si="6"/>
        <v>4.5</v>
      </c>
      <c r="N14" s="13"/>
      <c r="O14" s="13" t="s">
        <v>40</v>
      </c>
    </row>
    <row r="15" spans="2:15">
      <c r="B15" s="12">
        <v>46153</v>
      </c>
      <c r="C15" s="13" t="s">
        <v>26</v>
      </c>
      <c r="D15" s="13" t="s">
        <v>38</v>
      </c>
      <c r="E15" s="13"/>
      <c r="F15" s="13"/>
      <c r="G15" s="13"/>
      <c r="H15" s="13" t="s">
        <v>21</v>
      </c>
      <c r="I15" s="13">
        <f>180</f>
        <v>180</v>
      </c>
      <c r="J15" s="13">
        <f t="shared" si="3"/>
        <v>1.5</v>
      </c>
      <c r="K15" s="13">
        <f t="shared" si="4"/>
        <v>270</v>
      </c>
      <c r="L15" s="13">
        <f t="shared" si="5"/>
        <v>4.5</v>
      </c>
      <c r="M15" s="13">
        <f t="shared" si="6"/>
        <v>4.5</v>
      </c>
      <c r="N15" s="13"/>
      <c r="O15" s="13" t="s">
        <v>41</v>
      </c>
    </row>
    <row r="16" spans="2:15">
      <c r="B16" s="12">
        <v>46154</v>
      </c>
      <c r="C16" s="13" t="s">
        <v>28</v>
      </c>
      <c r="D16" s="13" t="s">
        <v>38</v>
      </c>
      <c r="E16" s="13"/>
      <c r="F16" s="13"/>
      <c r="G16" s="13"/>
      <c r="H16" s="13" t="s">
        <v>42</v>
      </c>
      <c r="I16" s="13">
        <f>180</f>
        <v>180</v>
      </c>
      <c r="J16" s="13">
        <f t="shared" si="3"/>
        <v>1.5</v>
      </c>
      <c r="K16" s="13">
        <f t="shared" si="4"/>
        <v>270</v>
      </c>
      <c r="L16" s="13">
        <f t="shared" si="5"/>
        <v>4.5</v>
      </c>
      <c r="M16" s="13">
        <f t="shared" si="6"/>
        <v>4.5</v>
      </c>
      <c r="N16" s="13"/>
      <c r="O16" s="13" t="s">
        <v>43</v>
      </c>
    </row>
    <row r="17" spans="2:15">
      <c r="B17" s="12">
        <v>46155</v>
      </c>
      <c r="C17" s="13" t="s">
        <v>13</v>
      </c>
      <c r="D17" s="13" t="s">
        <v>38</v>
      </c>
      <c r="E17" s="13"/>
      <c r="F17" s="13"/>
      <c r="G17" s="13"/>
      <c r="H17" s="13" t="s">
        <v>21</v>
      </c>
      <c r="I17" s="13">
        <f>180</f>
        <v>180</v>
      </c>
      <c r="J17" s="13">
        <f t="shared" si="3"/>
        <v>1.5</v>
      </c>
      <c r="K17" s="13">
        <f t="shared" si="4"/>
        <v>270</v>
      </c>
      <c r="L17" s="13">
        <f t="shared" si="5"/>
        <v>4.5</v>
      </c>
      <c r="M17" s="13">
        <f t="shared" si="6"/>
        <v>4.5</v>
      </c>
      <c r="N17" s="13"/>
      <c r="O17" s="13" t="s">
        <v>44</v>
      </c>
    </row>
    <row r="18" spans="2:15">
      <c r="B18" s="12">
        <v>46156</v>
      </c>
      <c r="C18" s="13" t="s">
        <v>16</v>
      </c>
      <c r="D18" s="13" t="s">
        <v>38</v>
      </c>
      <c r="E18" s="13"/>
      <c r="F18" s="13"/>
      <c r="G18" s="13"/>
      <c r="H18" s="13" t="s">
        <v>45</v>
      </c>
      <c r="I18" s="13">
        <f>180</f>
        <v>180</v>
      </c>
      <c r="J18" s="13">
        <f t="shared" si="3"/>
        <v>1.5</v>
      </c>
      <c r="K18" s="13">
        <f t="shared" si="4"/>
        <v>270</v>
      </c>
      <c r="L18" s="13">
        <f t="shared" si="5"/>
        <v>4.5</v>
      </c>
      <c r="M18" s="13">
        <f t="shared" si="6"/>
        <v>4.5</v>
      </c>
      <c r="N18" s="13"/>
      <c r="O18" s="13" t="s">
        <v>46</v>
      </c>
    </row>
    <row r="19" spans="2:15">
      <c r="B19" s="12">
        <v>46157</v>
      </c>
      <c r="C19" s="13" t="s">
        <v>18</v>
      </c>
      <c r="D19" s="13" t="s">
        <v>38</v>
      </c>
      <c r="E19" s="13"/>
      <c r="F19" s="13"/>
      <c r="G19" s="13"/>
      <c r="H19" s="15" t="s">
        <v>47</v>
      </c>
      <c r="I19" s="15"/>
      <c r="J19" s="15"/>
      <c r="K19" s="15"/>
      <c r="L19" s="15"/>
      <c r="M19" s="13" t="s">
        <v>48</v>
      </c>
      <c r="N19" s="13"/>
      <c r="O19" s="16" t="s">
        <v>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0"/>
  <sheetViews>
    <sheetView workbookViewId="0">
      <selection activeCell="D9" sqref="D9"/>
    </sheetView>
  </sheetViews>
  <sheetFormatPr defaultColWidth="8.88888888888889" defaultRowHeight="17.6" outlineLevelCol="5"/>
  <cols>
    <col min="2" max="2" width="5.66666666666667" customWidth="1"/>
    <col min="3" max="3" width="3.88888888888889" customWidth="1"/>
    <col min="4" max="4" width="10.5555555555556" customWidth="1"/>
    <col min="5" max="5" width="4.72222222222222" customWidth="1"/>
    <col min="6" max="6" width="52" customWidth="1"/>
  </cols>
  <sheetData>
    <row r="2" ht="18.35"/>
    <row r="3" ht="31.75" spans="2:6">
      <c r="B3" s="1" t="s">
        <v>0</v>
      </c>
      <c r="C3" s="2" t="s">
        <v>1</v>
      </c>
      <c r="D3" s="2" t="s">
        <v>11</v>
      </c>
      <c r="E3" s="6" t="s">
        <v>50</v>
      </c>
      <c r="F3" s="2" t="s">
        <v>51</v>
      </c>
    </row>
    <row r="4" spans="2:6">
      <c r="B4" s="3">
        <v>46141</v>
      </c>
      <c r="C4" s="4" t="s">
        <v>52</v>
      </c>
      <c r="D4" s="5">
        <v>3.6</v>
      </c>
      <c r="E4" s="7">
        <v>6</v>
      </c>
      <c r="F4" s="4" t="s">
        <v>53</v>
      </c>
    </row>
    <row r="5" spans="2:6">
      <c r="B5" s="3">
        <v>46142</v>
      </c>
      <c r="C5" s="4" t="s">
        <v>54</v>
      </c>
      <c r="D5" s="5">
        <v>3.6</v>
      </c>
      <c r="E5" s="7">
        <v>6</v>
      </c>
      <c r="F5" s="4" t="s">
        <v>53</v>
      </c>
    </row>
    <row r="6" spans="2:6">
      <c r="B6" s="3">
        <v>46143</v>
      </c>
      <c r="C6" s="4" t="s">
        <v>55</v>
      </c>
      <c r="D6" s="5">
        <v>3.6</v>
      </c>
      <c r="E6" s="7">
        <v>6</v>
      </c>
      <c r="F6" s="4" t="s">
        <v>53</v>
      </c>
    </row>
    <row r="7" spans="2:6">
      <c r="B7" s="3">
        <v>46144</v>
      </c>
      <c r="C7" s="4" t="s">
        <v>56</v>
      </c>
      <c r="D7" s="5">
        <v>4.6</v>
      </c>
      <c r="E7" s="7">
        <v>8</v>
      </c>
      <c r="F7" s="4" t="s">
        <v>57</v>
      </c>
    </row>
    <row r="8" spans="2:6">
      <c r="B8" s="3">
        <v>46145</v>
      </c>
      <c r="C8" s="4" t="s">
        <v>58</v>
      </c>
      <c r="D8" s="5">
        <v>6.1</v>
      </c>
      <c r="E8" s="7">
        <v>8</v>
      </c>
      <c r="F8" s="4" t="s">
        <v>57</v>
      </c>
    </row>
    <row r="9" spans="2:6">
      <c r="B9" s="3">
        <v>46146</v>
      </c>
      <c r="C9" s="4" t="s">
        <v>59</v>
      </c>
      <c r="D9" s="5">
        <v>3.6</v>
      </c>
      <c r="E9" s="7">
        <v>6</v>
      </c>
      <c r="F9" s="4" t="s">
        <v>53</v>
      </c>
    </row>
    <row r="10" spans="2:6">
      <c r="B10" s="3">
        <v>46147</v>
      </c>
      <c r="C10" s="4" t="s">
        <v>60</v>
      </c>
      <c r="D10" s="5">
        <v>3.6</v>
      </c>
      <c r="E10" s="7">
        <v>6</v>
      </c>
      <c r="F10" s="4" t="s">
        <v>53</v>
      </c>
    </row>
    <row r="11" spans="2:6">
      <c r="B11" s="3">
        <v>46148</v>
      </c>
      <c r="C11" s="4" t="s">
        <v>52</v>
      </c>
      <c r="D11" s="5">
        <v>6.1</v>
      </c>
      <c r="E11" s="7">
        <v>6</v>
      </c>
      <c r="F11" s="4" t="s">
        <v>53</v>
      </c>
    </row>
    <row r="12" spans="2:6">
      <c r="B12" s="3">
        <v>46149</v>
      </c>
      <c r="C12" s="4" t="s">
        <v>54</v>
      </c>
      <c r="D12" s="5">
        <v>4.1</v>
      </c>
      <c r="E12" s="7">
        <v>6</v>
      </c>
      <c r="F12" s="4" t="s">
        <v>53</v>
      </c>
    </row>
    <row r="13" spans="2:6">
      <c r="B13" s="3">
        <v>46150</v>
      </c>
      <c r="C13" s="4" t="s">
        <v>55</v>
      </c>
      <c r="D13" s="5">
        <v>4.1</v>
      </c>
      <c r="E13" s="7">
        <v>6</v>
      </c>
      <c r="F13" s="4" t="s">
        <v>53</v>
      </c>
    </row>
    <row r="14" spans="2:6">
      <c r="B14" s="3">
        <v>46151</v>
      </c>
      <c r="C14" s="4" t="s">
        <v>56</v>
      </c>
      <c r="D14" s="5">
        <v>1</v>
      </c>
      <c r="E14" s="7">
        <v>1</v>
      </c>
      <c r="F14" s="4" t="s">
        <v>61</v>
      </c>
    </row>
    <row r="15" spans="2:6">
      <c r="B15" s="3">
        <v>46152</v>
      </c>
      <c r="C15" s="4" t="s">
        <v>58</v>
      </c>
      <c r="D15" s="5">
        <v>4.5</v>
      </c>
      <c r="E15" s="7">
        <v>6</v>
      </c>
      <c r="F15" s="4" t="s">
        <v>53</v>
      </c>
    </row>
    <row r="16" spans="2:6">
      <c r="B16" s="3">
        <v>46153</v>
      </c>
      <c r="C16" s="4" t="s">
        <v>59</v>
      </c>
      <c r="D16" s="5">
        <v>4.5</v>
      </c>
      <c r="E16" s="7">
        <v>6</v>
      </c>
      <c r="F16" s="4" t="s">
        <v>53</v>
      </c>
    </row>
    <row r="17" spans="2:6">
      <c r="B17" s="3">
        <v>46154</v>
      </c>
      <c r="C17" s="4" t="s">
        <v>60</v>
      </c>
      <c r="D17" s="5">
        <v>4.5</v>
      </c>
      <c r="E17" s="7">
        <v>6</v>
      </c>
      <c r="F17" s="4" t="s">
        <v>53</v>
      </c>
    </row>
    <row r="18" spans="2:6">
      <c r="B18" s="3">
        <v>46155</v>
      </c>
      <c r="C18" s="4" t="s">
        <v>52</v>
      </c>
      <c r="D18" s="5">
        <v>4.5</v>
      </c>
      <c r="E18" s="7">
        <v>6</v>
      </c>
      <c r="F18" s="4" t="s">
        <v>53</v>
      </c>
    </row>
    <row r="19" spans="2:6">
      <c r="B19" s="3">
        <v>46156</v>
      </c>
      <c r="C19" s="4" t="s">
        <v>54</v>
      </c>
      <c r="D19" s="5">
        <v>4.5</v>
      </c>
      <c r="E19" s="7">
        <v>6</v>
      </c>
      <c r="F19" s="4" t="s">
        <v>53</v>
      </c>
    </row>
    <row r="20" spans="2:6">
      <c r="B20" s="3">
        <v>46157</v>
      </c>
      <c r="C20" s="4" t="s">
        <v>55</v>
      </c>
      <c r="D20" s="4" t="s">
        <v>48</v>
      </c>
      <c r="E20" s="8"/>
      <c r="F20" s="9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Plan-1</vt:lpstr>
      <vt:lpstr>Plan-2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Du</dc:creator>
  <cp:lastModifiedBy>WPS_1748445217</cp:lastModifiedBy>
  <dcterms:created xsi:type="dcterms:W3CDTF">2026-04-29T16:53:00Z</dcterms:created>
  <dcterms:modified xsi:type="dcterms:W3CDTF">2026-04-29T18:32:27Z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D661FEF6ED327E87EA86F2696DF7A40A_42</vt:lpwstr>
  </property>
  <property fmtid="{D5CDD505-2E9C-101B-9397-08002B2CF9AE}" pid="3" name="KSOProductBuildVer">
    <vt:lpwstr>1033-12.1.23155.23155</vt:lpwstr>
  </property>
</Properties>
</file>